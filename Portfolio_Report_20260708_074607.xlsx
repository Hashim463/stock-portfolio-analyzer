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oldings" sheetId="2" state="visible" r:id="rId4"/>
    <sheet name="Charts" sheetId="3" state="visible" r:id="rId5"/>
  </sheets>
  <definedNames>
    <definedName function="false" hidden="true" localSheetId="1" name="_xlnm._FilterDatabase" vbProcedure="false">Holdings!$A$1:$K$8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<sst xmlns="http://schemas.openxmlformats.org/spreadsheetml/2006/main" count="52" uniqueCount="43">
  <si>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Portfolio Performance Report</t>
  </si>
  <si>
    <t xml:space="preserve">Generated on 08 Jul 2026, 07:46 AM</t>
  </si>
  <si>
    <t xml:space="preserve">Total Invested</t>
  </si>
  <si>
    <t xml:space="preserve">Current Value</t>
  </si>
  <si>
    <t xml:space="preserve">Total Gain/Loss</t>
  </si>
  <si>
    <t xml:space="preserve">Return %</t>
  </si>
  <si>
    <t xml:space="preserve">Sector Allocation</t>
  </si>
  <si>
    <t xml:space="preserve">Sector</t>
  </si>
  <si>
    <t xml:space="preserve">Value</t>
  </si>
  <si>
    <t xml:space="preserve">Banking</t>
  </si>
  <si>
    <t xml:space="preserve">IT</t>
  </si>
  <si>
    <t xml:space="preserve">Energy</t>
  </si>
  <si>
    <t xml:space="preserve">Automobile</t>
  </si>
  <si>
    <t xml:space="preserve">FMCG</t>
  </si>
  <si>
    <t xml:space="preserve">Best Performer</t>
  </si>
  <si>
    <t xml:space="preserve">RELIANCE (20.41%)</t>
  </si>
  <si>
    <t xml:space="preserve">Worst Performer</t>
  </si>
  <si>
    <t xml:space="preserve">TCS (6.94%)</t>
  </si>
  <si>
    <t xml:space="preserve">Symbol</t>
  </si>
  <si>
    <t xml:space="preserve">Company</t>
  </si>
  <si>
    <t xml:space="preserve">Qty</t>
  </si>
  <si>
    <t xml:space="preserve">Buy Price</t>
  </si>
  <si>
    <t xml:space="preserve">Current Price</t>
  </si>
  <si>
    <t xml:space="preserve">Invested</t>
  </si>
  <si>
    <t xml:space="preserve">Gain/Loss</t>
  </si>
  <si>
    <t xml:space="preserve">Gain/Loss %</t>
  </si>
  <si>
    <t xml:space="preserve">Weight %</t>
  </si>
  <si>
    <t xml:space="preserve">HDFCBANK</t>
  </si>
  <si>
    <t xml:space="preserve">HDFC Bank</t>
  </si>
  <si>
    <t xml:space="preserve">ICICIBANK</t>
  </si>
  <si>
    <t xml:space="preserve">ICICI Bank</t>
  </si>
  <si>
    <t xml:space="preserve">INFY</t>
  </si>
  <si>
    <t xml:space="preserve">Infosys</t>
  </si>
  <si>
    <t xml:space="preserve">ITC</t>
  </si>
  <si>
    <t xml:space="preserve">ITC Limited</t>
  </si>
  <si>
    <t xml:space="preserve">RELIANCE</t>
  </si>
  <si>
    <t xml:space="preserve">Reliance Industries</t>
  </si>
  <si>
    <t xml:space="preserve">TATAMOTORS</t>
  </si>
  <si>
    <t xml:space="preserve">Tata Motors</t>
  </si>
  <si>
    <t xml:space="preserve">TCS</t>
  </si>
  <si>
    <t xml:space="preserve">Tata Consultancy Services</t>
  </si>
  <si>
    <t xml:space="preserve">TOTAL</t>
  </si>
  <si>
    <t xml:space="preserve">Visual Insights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</si>
</sst>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Gain/Loss by Stock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Holdings!I1</c:f>
              <c:strCache>
                <c:ptCount val="1"/>
                <c:pt idx="0">
                  <c:v>Gain/Loss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Holdings!$A$2:$A$8</c:f>
              <c:strCache>
                <c:ptCount val="7"/>
                <c:pt idx="0">
                  <c:v>HDFCBANK</c:v>
                </c:pt>
                <c:pt idx="1">
                  <c:v>ICICIBANK</c:v>
                </c:pt>
                <c:pt idx="2">
                  <c:v>INFY</c:v>
                </c:pt>
                <c:pt idx="3">
                  <c:v>ITC</c:v>
                </c:pt>
                <c:pt idx="4">
                  <c:v>RELIANCE</c:v>
                </c:pt>
                <c:pt idx="5">
                  <c:v>TATAMOTORS</c:v>
                </c:pt>
                <c:pt idx="6">
                  <c:v>TCS</c:v>
                </c:pt>
              </c:strCache>
            </c:strRef>
          </c:cat>
          <c:val>
            <c:numRef>
              <c:f>Holdings!$I$2:$I$8</c:f>
              <c:numCache>
                <c:formatCode>\₹#,##0.00</c:formatCode>
                <c:ptCount val="7"/>
                <c:pt idx="0">
                  <c:v>1560</c:v>
                </c:pt>
                <c:pt idx="1">
                  <c:v>2200</c:v>
                </c:pt>
                <c:pt idx="2">
                  <c:v>2550</c:v>
                </c:pt>
                <c:pt idx="3">
                  <c:v>1050</c:v>
                </c:pt>
                <c:pt idx="4">
                  <c:v>5000</c:v>
                </c:pt>
                <c:pt idx="5">
                  <c:v>3250</c:v>
                </c:pt>
                <c:pt idx="6">
                  <c:v>1250</c:v>
                </c:pt>
              </c:numCache>
            </c:numRef>
          </c:val>
        </c:ser>
        <c:gapWidth val="150"/>
        <c:overlap val="0"/>
        <c:axId val="77883109"/>
        <c:axId val="38395864"/>
      </c:barChart>
      <c:catAx>
        <c:axId val="77883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95864"/>
        <c:crosses val="autoZero"/>
        <c:auto val="1"/>
        <c:lblAlgn val="ctr"/>
        <c:lblOffset val="100"/>
        <c:noMultiLvlLbl val="0"/>
      </c:catAx>
      <c:valAx>
        <c:axId val="38395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Gain/Loss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83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Allocation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Summary!B9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Summary!$A$10:$A$14</c:f>
              <c:strCache>
                <c:ptCount val="5"/>
                <c:pt idx="0">
                  <c:v>Banking</c:v>
                </c:pt>
                <c:pt idx="1">
                  <c:v>IT</c:v>
                </c:pt>
                <c:pt idx="2">
                  <c:v>Energy</c:v>
                </c:pt>
                <c:pt idx="3">
                  <c:v>Automobile</c:v>
                </c:pt>
                <c:pt idx="4">
                  <c:v>FMCG</c:v>
                </c:pt>
              </c:strCache>
            </c:strRef>
          </c:cat>
          <c:val>
            <c:numRef>
              <c:f>Summary!$B$10:$B$14</c:f>
              <c:numCache>
                <c:formatCode>\₹#,##0.00</c:formatCode>
                <c:ptCount val="5"/>
                <c:pt idx="0">
                  <c:v>44360</c:v>
                </c:pt>
                <c:pt idx="1">
                  <c:v>43550</c:v>
                </c:pt>
                <c:pt idx="2">
                  <c:v>29500</c:v>
                </c:pt>
                <c:pt idx="3">
                  <c:v>24500</c:v>
                </c:pt>
                <c:pt idx="4">
                  <c:v>13950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9</xdr:col>
      <xdr:colOff>255960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9</xdr:col>
      <xdr:colOff>255960</xdr:colOff>
      <xdr:row>37</xdr:row>
      <xdr:rowOff>132120</xdr:rowOff>
    </xdr:to>
    <xdr:graphicFrame>
      <xdr:nvGraphicFramePr>
        <xdr:cNvPr id="1" name="Chart 2"/>
        <xdr:cNvGraphicFramePr/>
      </xdr:nvGraphicFramePr>
      <xdr:xfrm>
        <a:off x="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6.15" hidden="false" customHeight="false" outlineLevel="0" collapsed="false">
      <c r="A5" s="4" t="n">
        <f aca="false">Holdings!G9</f>
        <v>139000</v>
      </c>
      <c r="B5" s="4" t="n">
        <f aca="false">Holdings!H9</f>
        <v>155860</v>
      </c>
      <c r="C5" s="4" t="n">
        <f aca="false">Holdings!I9</f>
        <v>16860</v>
      </c>
      <c r="D5" s="5" t="n">
        <f aca="false">Holdings!J9</f>
        <v>12.1294964028777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7" t="s">
        <v>7</v>
      </c>
      <c r="B9" s="7" t="s">
        <v>8</v>
      </c>
    </row>
    <row r="10" customFormat="false" ht="15" hidden="false" customHeight="false" outlineLevel="0" collapsed="false">
      <c r="A10" s="8" t="s">
        <v>9</v>
      </c>
      <c r="B10" s="9" t="n">
        <v>44360</v>
      </c>
    </row>
    <row r="11" customFormat="false" ht="15" hidden="false" customHeight="false" outlineLevel="0" collapsed="false">
      <c r="A11" s="8" t="s">
        <v>10</v>
      </c>
      <c r="B11" s="9" t="n">
        <v>43550</v>
      </c>
    </row>
    <row r="12" customFormat="false" ht="15" hidden="false" customHeight="false" outlineLevel="0" collapsed="false">
      <c r="A12" s="8" t="s">
        <v>11</v>
      </c>
      <c r="B12" s="9" t="n">
        <v>29500</v>
      </c>
    </row>
    <row r="13" customFormat="false" ht="15" hidden="false" customHeight="false" outlineLevel="0" collapsed="false">
      <c r="A13" s="8" t="s">
        <v>12</v>
      </c>
      <c r="B13" s="9" t="n">
        <v>24500</v>
      </c>
    </row>
    <row r="14" customFormat="false" ht="15" hidden="false" customHeight="false" outlineLevel="0" collapsed="false">
      <c r="A14" s="8" t="s">
        <v>13</v>
      </c>
      <c r="B14" s="9" t="n">
        <v>13950</v>
      </c>
    </row>
    <row r="17" customFormat="false" ht="15" hidden="false" customHeight="false" outlineLevel="0" collapsed="false">
      <c r="A17" s="6" t="s">
        <v>14</v>
      </c>
      <c r="B17" s="10" t="s">
        <v>15</v>
      </c>
    </row>
    <row r="18" customFormat="false" ht="15" hidden="false" customHeight="false" outlineLevel="0" collapsed="false">
      <c r="A18" s="6" t="s">
        <v>16</v>
      </c>
      <c r="B18" s="10" t="s">
        <v>17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18</v>
      </c>
      <c r="B1" s="7" t="s">
        <v>19</v>
      </c>
      <c r="C1" s="7" t="s">
        <v>7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3</v>
      </c>
      <c r="I1" s="7" t="s">
        <v>24</v>
      </c>
      <c r="J1" s="7" t="s">
        <v>25</v>
      </c>
      <c r="K1" s="7" t="s">
        <v>26</v>
      </c>
    </row>
    <row r="2" customFormat="false" ht="15" hidden="false" customHeight="false" outlineLevel="0" collapsed="false">
      <c r="A2" s="8" t="s">
        <v>27</v>
      </c>
      <c r="B2" s="8" t="s">
        <v>28</v>
      </c>
      <c r="C2" s="8" t="s">
        <v>9</v>
      </c>
      <c r="D2" s="8" t="n">
        <v>12</v>
      </c>
      <c r="E2" s="11" t="n">
        <v>1550</v>
      </c>
      <c r="F2" s="11" t="n">
        <v>1680</v>
      </c>
      <c r="G2" s="11" t="n">
        <f aca="false">D2*E2</f>
        <v>18600</v>
      </c>
      <c r="H2" s="11" t="n">
        <f aca="false">D2*F2</f>
        <v>20160</v>
      </c>
      <c r="I2" s="11" t="n">
        <f aca="false">H2-G2</f>
        <v>1560</v>
      </c>
      <c r="J2" s="12" t="n">
        <f aca="false">IF(G2=0,0,(I2/G2)*100)</f>
        <v>8.38709677419355</v>
      </c>
      <c r="K2" s="12" t="n">
        <f aca="false">IF($H$8=0,0,(H2/$H$8)*100)</f>
        <v>104.727272727273</v>
      </c>
    </row>
    <row r="3" customFormat="false" ht="15" hidden="false" customHeight="false" outlineLevel="0" collapsed="false">
      <c r="A3" s="8" t="s">
        <v>29</v>
      </c>
      <c r="B3" s="8" t="s">
        <v>30</v>
      </c>
      <c r="C3" s="8" t="s">
        <v>9</v>
      </c>
      <c r="D3" s="8" t="n">
        <v>20</v>
      </c>
      <c r="E3" s="11" t="n">
        <v>1100</v>
      </c>
      <c r="F3" s="11" t="n">
        <v>1210</v>
      </c>
      <c r="G3" s="11" t="n">
        <f aca="false">D3*E3</f>
        <v>22000</v>
      </c>
      <c r="H3" s="11" t="n">
        <f aca="false">D3*F3</f>
        <v>24200</v>
      </c>
      <c r="I3" s="11" t="n">
        <f aca="false">H3-G3</f>
        <v>2200</v>
      </c>
      <c r="J3" s="12" t="n">
        <f aca="false">IF(G3=0,0,(I3/G3)*100)</f>
        <v>10</v>
      </c>
      <c r="K3" s="12" t="n">
        <f aca="false">IF($H$8=0,0,(H3/$H$8)*100)</f>
        <v>125.714285714286</v>
      </c>
    </row>
    <row r="4" customFormat="false" ht="15" hidden="false" customHeight="false" outlineLevel="0" collapsed="false">
      <c r="A4" s="8" t="s">
        <v>31</v>
      </c>
      <c r="B4" s="8" t="s">
        <v>32</v>
      </c>
      <c r="C4" s="8" t="s">
        <v>10</v>
      </c>
      <c r="D4" s="8" t="n">
        <v>15</v>
      </c>
      <c r="E4" s="11" t="n">
        <v>1450</v>
      </c>
      <c r="F4" s="11" t="n">
        <v>1620</v>
      </c>
      <c r="G4" s="11" t="n">
        <f aca="false">D4*E4</f>
        <v>21750</v>
      </c>
      <c r="H4" s="11" t="n">
        <f aca="false">D4*F4</f>
        <v>24300</v>
      </c>
      <c r="I4" s="11" t="n">
        <f aca="false">H4-G4</f>
        <v>2550</v>
      </c>
      <c r="J4" s="12" t="n">
        <f aca="false">IF(G4=0,0,(I4/G4)*100)</f>
        <v>11.7241379310345</v>
      </c>
      <c r="K4" s="12" t="n">
        <f aca="false">IF($H$8=0,0,(H4/$H$8)*100)</f>
        <v>126.233766233766</v>
      </c>
    </row>
    <row r="5" customFormat="false" ht="15" hidden="false" customHeight="false" outlineLevel="0" collapsed="false">
      <c r="A5" s="8" t="s">
        <v>33</v>
      </c>
      <c r="B5" s="8" t="s">
        <v>34</v>
      </c>
      <c r="C5" s="8" t="s">
        <v>13</v>
      </c>
      <c r="D5" s="8" t="n">
        <v>30</v>
      </c>
      <c r="E5" s="11" t="n">
        <v>430</v>
      </c>
      <c r="F5" s="11" t="n">
        <v>465</v>
      </c>
      <c r="G5" s="11" t="n">
        <f aca="false">D5*E5</f>
        <v>12900</v>
      </c>
      <c r="H5" s="11" t="n">
        <f aca="false">D5*F5</f>
        <v>13950</v>
      </c>
      <c r="I5" s="11" t="n">
        <f aca="false">H5-G5</f>
        <v>1050</v>
      </c>
      <c r="J5" s="12" t="n">
        <f aca="false">IF(G5=0,0,(I5/G5)*100)</f>
        <v>8.13953488372093</v>
      </c>
      <c r="K5" s="12" t="n">
        <f aca="false">IF($H$8=0,0,(H5/$H$8)*100)</f>
        <v>72.4675324675325</v>
      </c>
    </row>
    <row r="6" customFormat="false" ht="15" hidden="false" customHeight="false" outlineLevel="0" collapsed="false">
      <c r="A6" s="8" t="s">
        <v>35</v>
      </c>
      <c r="B6" s="8" t="s">
        <v>36</v>
      </c>
      <c r="C6" s="8" t="s">
        <v>11</v>
      </c>
      <c r="D6" s="8" t="n">
        <v>10</v>
      </c>
      <c r="E6" s="11" t="n">
        <v>2450</v>
      </c>
      <c r="F6" s="11" t="n">
        <v>2950</v>
      </c>
      <c r="G6" s="11" t="n">
        <f aca="false">D6*E6</f>
        <v>24500</v>
      </c>
      <c r="H6" s="11" t="n">
        <f aca="false">D6*F6</f>
        <v>29500</v>
      </c>
      <c r="I6" s="11" t="n">
        <f aca="false">H6-G6</f>
        <v>5000</v>
      </c>
      <c r="J6" s="12" t="n">
        <f aca="false">IF(G6=0,0,(I6/G6)*100)</f>
        <v>20.4081632653061</v>
      </c>
      <c r="K6" s="12" t="n">
        <f aca="false">IF($H$8=0,0,(H6/$H$8)*100)</f>
        <v>153.246753246753</v>
      </c>
    </row>
    <row r="7" customFormat="false" ht="15" hidden="false" customHeight="false" outlineLevel="0" collapsed="false">
      <c r="A7" s="8" t="s">
        <v>37</v>
      </c>
      <c r="B7" s="8" t="s">
        <v>38</v>
      </c>
      <c r="C7" s="8" t="s">
        <v>12</v>
      </c>
      <c r="D7" s="8" t="n">
        <v>25</v>
      </c>
      <c r="E7" s="11" t="n">
        <v>850</v>
      </c>
      <c r="F7" s="11" t="n">
        <v>980</v>
      </c>
      <c r="G7" s="11" t="n">
        <f aca="false">D7*E7</f>
        <v>21250</v>
      </c>
      <c r="H7" s="11" t="n">
        <f aca="false">D7*F7</f>
        <v>24500</v>
      </c>
      <c r="I7" s="11" t="n">
        <f aca="false">H7-G7</f>
        <v>3250</v>
      </c>
      <c r="J7" s="12" t="n">
        <f aca="false">IF(G7=0,0,(I7/G7)*100)</f>
        <v>15.2941176470588</v>
      </c>
      <c r="K7" s="12" t="n">
        <f aca="false">IF($H$8=0,0,(H7/$H$8)*100)</f>
        <v>127.272727272727</v>
      </c>
    </row>
    <row r="8" customFormat="false" ht="15" hidden="false" customHeight="false" outlineLevel="0" collapsed="false">
      <c r="A8" s="8" t="s">
        <v>39</v>
      </c>
      <c r="B8" s="8" t="s">
        <v>40</v>
      </c>
      <c r="C8" s="8" t="s">
        <v>10</v>
      </c>
      <c r="D8" s="8" t="n">
        <v>5</v>
      </c>
      <c r="E8" s="11" t="n">
        <v>3600</v>
      </c>
      <c r="F8" s="11" t="n">
        <v>3850</v>
      </c>
      <c r="G8" s="11" t="n">
        <f aca="false">D8*E8</f>
        <v>18000</v>
      </c>
      <c r="H8" s="11" t="n">
        <f aca="false">D8*F8</f>
        <v>19250</v>
      </c>
      <c r="I8" s="11" t="n">
        <f aca="false">H8-G8</f>
        <v>1250</v>
      </c>
      <c r="J8" s="12" t="n">
        <f aca="false">IF(G8=0,0,(I8/G8)*100)</f>
        <v>6.94444444444445</v>
      </c>
      <c r="K8" s="12" t="n">
        <f aca="false">IF($H$8=0,0,(H8/$H$8)*100)</f>
        <v>100</v>
      </c>
    </row>
    <row r="9" customFormat="false" ht="15" hidden="false" customHeight="false" outlineLevel="0" collapsed="false">
      <c r="A9" s="13"/>
      <c r="B9" s="13" t="s">
        <v>41</v>
      </c>
      <c r="C9" s="13"/>
      <c r="D9" s="13"/>
      <c r="E9" s="14"/>
      <c r="F9" s="14"/>
      <c r="G9" s="14" t="n">
        <f aca="false">SUM(G2:G8)</f>
        <v>139000</v>
      </c>
      <c r="H9" s="14" t="n">
        <f aca="false">SUM(H2:H8)</f>
        <v>155860</v>
      </c>
      <c r="I9" s="14" t="n">
        <f aca="false">H9-G9</f>
        <v>16860</v>
      </c>
      <c r="J9" s="15" t="n">
        <f aca="false">IF(G9=0,0,(I9/G9)*100)</f>
        <v>12.1294964028777</v>
      </c>
      <c r="K9" s="15"/>
    </row>
  </sheetData>
  <autoFilter ref="A1:K8"/>
  <conditionalFormatting sqref="I2:I8">
    <cfRule type="cellIs" priority="2" operator="greaterThan" aboveAverage="0" equalAverage="0" bottom="0" percent="0" rank="0" text="" dxfId="4">
      <formula>0</formula>
    </cfRule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2026-07-08T07:46:07Z</dcterms:created>
  <dc:creator>openpyxl</dc:creator>
  <dc:description/>
  <dc:language>en-US</dc:language>
  <cp:lastModifiedBy/>
  <dcterms:modified xsi:type="dcterms:W3CDTF">2026-07-08T07:46:15Z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