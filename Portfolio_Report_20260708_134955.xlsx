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ings" sheetId="2" state="visible" r:id="rId2"/>
    <sheet name="Charts" sheetId="3" state="visible" r:id="rId3"/>
  </sheets>
  <definedNames>
    <definedName name="_xlnm._FilterDatabase" localSheetId="1" hidden="1">'Holdings'!$A$1:$K$8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F4E78"/>
      <sz val="16"/>
    </font>
    <font>
      <name val="Arial"/>
      <i val="1"/>
      <color rgb="00808080"/>
      <sz val="10"/>
    </font>
    <font>
      <name val="Arial"/>
      <b val="1"/>
      <color rgb="001F4E78"/>
      <sz val="13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3" borderId="0" pivotButton="0" quotePrefix="0" xfId="0"/>
    <xf numFmtId="164" fontId="6" fillId="0" borderId="0" pivotButton="0" quotePrefix="0" xfId="0"/>
    <xf numFmtId="165" fontId="6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0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Gain/Loss by Stock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'Holdings'!I1</f>
            </strRef>
          </tx>
          <spPr>
            <a:ln>
              <a:prstDash val="solid"/>
            </a:ln>
          </spPr>
          <cat>
            <numRef>
              <f>'Holdings'!$A$2:$A$8</f>
            </numRef>
          </cat>
          <val>
            <numRef>
              <f>'Holdings'!$I$2:$I$8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Gain/Loss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Portfolio Allocation by Sector</a:t>
            </a:r>
          </a:p>
        </rich>
      </tx>
    </title>
    <plotArea>
      <pieChart>
        <varyColors val="1"/>
        <ser>
          <idx val="0"/>
          <order val="0"/>
          <tx>
            <strRef>
              <f>'Summary'!B9</f>
            </strRef>
          </tx>
          <spPr>
            <a:ln>
              <a:prstDash val="solid"/>
            </a:ln>
          </spPr>
          <cat>
            <numRef>
              <f>'Summary'!$A$10:$A$14</f>
            </numRef>
          </cat>
          <val>
            <numRef>
              <f>'Summary'!$B$10:$B$14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8" customWidth="1" min="3" max="3"/>
    <col width="15" customWidth="1" min="4" max="4"/>
    <col width="10" customWidth="1" min="5" max="5"/>
  </cols>
  <sheetData>
    <row r="1">
      <c r="A1" s="1" t="inlineStr">
        <is>
          <t>Portfolio Performance Report</t>
        </is>
      </c>
    </row>
    <row r="2">
      <c r="A2" s="2" t="inlineStr">
        <is>
          <t>Generated on 08 Jul 2026, 01:49 PM</t>
        </is>
      </c>
    </row>
    <row r="3"/>
    <row r="4">
      <c r="A4" s="3" t="inlineStr">
        <is>
          <t>Total Invested</t>
        </is>
      </c>
      <c r="B4" s="3" t="inlineStr">
        <is>
          <t>Current Value</t>
        </is>
      </c>
      <c r="C4" s="3" t="inlineStr">
        <is>
          <t>Total Gain/Loss</t>
        </is>
      </c>
      <c r="D4" s="3" t="inlineStr">
        <is>
          <t>Return %</t>
        </is>
      </c>
    </row>
    <row r="5">
      <c r="A5" s="4">
        <f>Holdings!G9</f>
        <v/>
      </c>
      <c r="B5" s="4">
        <f>Holdings!H9</f>
        <v/>
      </c>
      <c r="C5" s="4">
        <f>Holdings!I9</f>
        <v/>
      </c>
      <c r="D5" s="5">
        <f>Holdings!J9</f>
        <v/>
      </c>
    </row>
    <row r="6"/>
    <row r="7"/>
    <row r="8">
      <c r="A8" s="6" t="inlineStr">
        <is>
          <t>Sector Allocation</t>
        </is>
      </c>
    </row>
    <row r="9">
      <c r="A9" s="7" t="inlineStr">
        <is>
          <t>Sector</t>
        </is>
      </c>
      <c r="B9" s="7" t="inlineStr">
        <is>
          <t>Value</t>
        </is>
      </c>
    </row>
    <row r="10">
      <c r="A10" s="8" t="inlineStr">
        <is>
          <t>Banking</t>
        </is>
      </c>
      <c r="B10" s="9" t="n">
        <v>44360</v>
      </c>
    </row>
    <row r="11">
      <c r="A11" s="8" t="inlineStr">
        <is>
          <t>IT</t>
        </is>
      </c>
      <c r="B11" s="9" t="n">
        <v>43550</v>
      </c>
    </row>
    <row r="12">
      <c r="A12" s="8" t="inlineStr">
        <is>
          <t>Energy</t>
        </is>
      </c>
      <c r="B12" s="9" t="n">
        <v>29500</v>
      </c>
    </row>
    <row r="13">
      <c r="A13" s="8" t="inlineStr">
        <is>
          <t>Automobile</t>
        </is>
      </c>
      <c r="B13" s="9" t="n">
        <v>24500</v>
      </c>
    </row>
    <row r="14">
      <c r="A14" s="8" t="inlineStr">
        <is>
          <t>FMCG</t>
        </is>
      </c>
      <c r="B14" s="9" t="n">
        <v>13950</v>
      </c>
    </row>
    <row r="15"/>
    <row r="16"/>
    <row r="17">
      <c r="A17" s="6" t="inlineStr">
        <is>
          <t>Best Performer</t>
        </is>
      </c>
      <c r="B17" t="inlineStr">
        <is>
          <t>RELIANCE (20.41%)</t>
        </is>
      </c>
    </row>
    <row r="18">
      <c r="A18" s="6" t="inlineStr">
        <is>
          <t>Worst Performer</t>
        </is>
      </c>
      <c r="B18" t="inlineStr">
        <is>
          <t>TCS (6.94%)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3" customWidth="1" min="3" max="3"/>
    <col width="10" customWidth="1" min="4" max="4"/>
    <col width="12" customWidth="1" min="5" max="5"/>
    <col width="16" customWidth="1" min="6" max="6"/>
    <col width="14" customWidth="1" min="7" max="7"/>
    <col width="16" customWidth="1" min="8" max="8"/>
    <col width="12" customWidth="1" min="9" max="9"/>
    <col width="26" customWidth="1" min="10" max="10"/>
    <col width="30" customWidth="1" min="11" max="11"/>
  </cols>
  <sheetData>
    <row r="1">
      <c r="A1" s="7" t="inlineStr">
        <is>
          <t>Symbol</t>
        </is>
      </c>
      <c r="B1" s="7" t="inlineStr">
        <is>
          <t>Company</t>
        </is>
      </c>
      <c r="C1" s="7" t="inlineStr">
        <is>
          <t>Sector</t>
        </is>
      </c>
      <c r="D1" s="7" t="inlineStr">
        <is>
          <t>Qty</t>
        </is>
      </c>
      <c r="E1" s="7" t="inlineStr">
        <is>
          <t>Buy Price</t>
        </is>
      </c>
      <c r="F1" s="7" t="inlineStr">
        <is>
          <t>Current Price</t>
        </is>
      </c>
      <c r="G1" s="7" t="inlineStr">
        <is>
          <t>Invested</t>
        </is>
      </c>
      <c r="H1" s="7" t="inlineStr">
        <is>
          <t>Current Value</t>
        </is>
      </c>
      <c r="I1" s="7" t="inlineStr">
        <is>
          <t>Gain/Loss</t>
        </is>
      </c>
      <c r="J1" s="7" t="inlineStr">
        <is>
          <t>Gain/Loss %</t>
        </is>
      </c>
      <c r="K1" s="7" t="inlineStr">
        <is>
          <t>Weight %</t>
        </is>
      </c>
    </row>
    <row r="2">
      <c r="A2" s="8" t="inlineStr">
        <is>
          <t>HDFCBANK</t>
        </is>
      </c>
      <c r="B2" s="8" t="inlineStr">
        <is>
          <t>HDFC Bank</t>
        </is>
      </c>
      <c r="C2" s="8" t="inlineStr">
        <is>
          <t>Banking</t>
        </is>
      </c>
      <c r="D2" s="8" t="n">
        <v>12</v>
      </c>
      <c r="E2" s="10" t="n">
        <v>1550</v>
      </c>
      <c r="F2" s="10" t="n">
        <v>1680</v>
      </c>
      <c r="G2" s="10">
        <f>D2*E2</f>
        <v/>
      </c>
      <c r="H2" s="10">
        <f>D2*F2</f>
        <v/>
      </c>
      <c r="I2" s="10">
        <f>H2-G2</f>
        <v/>
      </c>
      <c r="J2" s="11">
        <f>IF(G2=0,0,(I2/G2)*100)</f>
        <v/>
      </c>
      <c r="K2" s="11">
        <f>IF($H$8=0,0,(H2/$H$8)*100)</f>
        <v/>
      </c>
    </row>
    <row r="3">
      <c r="A3" s="8" t="inlineStr">
        <is>
          <t>ICICIBANK</t>
        </is>
      </c>
      <c r="B3" s="8" t="inlineStr">
        <is>
          <t>ICICI Bank</t>
        </is>
      </c>
      <c r="C3" s="8" t="inlineStr">
        <is>
          <t>Banking</t>
        </is>
      </c>
      <c r="D3" s="8" t="n">
        <v>20</v>
      </c>
      <c r="E3" s="10" t="n">
        <v>1100</v>
      </c>
      <c r="F3" s="10" t="n">
        <v>1210</v>
      </c>
      <c r="G3" s="10">
        <f>D3*E3</f>
        <v/>
      </c>
      <c r="H3" s="10">
        <f>D3*F3</f>
        <v/>
      </c>
      <c r="I3" s="10">
        <f>H3-G3</f>
        <v/>
      </c>
      <c r="J3" s="11">
        <f>IF(G3=0,0,(I3/G3)*100)</f>
        <v/>
      </c>
      <c r="K3" s="11">
        <f>IF($H$8=0,0,(H3/$H$8)*100)</f>
        <v/>
      </c>
    </row>
    <row r="4">
      <c r="A4" s="8" t="inlineStr">
        <is>
          <t>INFY</t>
        </is>
      </c>
      <c r="B4" s="8" t="inlineStr">
        <is>
          <t>Infosys</t>
        </is>
      </c>
      <c r="C4" s="8" t="inlineStr">
        <is>
          <t>IT</t>
        </is>
      </c>
      <c r="D4" s="8" t="n">
        <v>15</v>
      </c>
      <c r="E4" s="10" t="n">
        <v>1450</v>
      </c>
      <c r="F4" s="10" t="n">
        <v>1620</v>
      </c>
      <c r="G4" s="10">
        <f>D4*E4</f>
        <v/>
      </c>
      <c r="H4" s="10">
        <f>D4*F4</f>
        <v/>
      </c>
      <c r="I4" s="10">
        <f>H4-G4</f>
        <v/>
      </c>
      <c r="J4" s="11">
        <f>IF(G4=0,0,(I4/G4)*100)</f>
        <v/>
      </c>
      <c r="K4" s="11">
        <f>IF($H$8=0,0,(H4/$H$8)*100)</f>
        <v/>
      </c>
    </row>
    <row r="5">
      <c r="A5" s="8" t="inlineStr">
        <is>
          <t>ITC</t>
        </is>
      </c>
      <c r="B5" s="8" t="inlineStr">
        <is>
          <t>ITC Limited</t>
        </is>
      </c>
      <c r="C5" s="8" t="inlineStr">
        <is>
          <t>FMCG</t>
        </is>
      </c>
      <c r="D5" s="8" t="n">
        <v>30</v>
      </c>
      <c r="E5" s="10" t="n">
        <v>430</v>
      </c>
      <c r="F5" s="10" t="n">
        <v>465</v>
      </c>
      <c r="G5" s="10">
        <f>D5*E5</f>
        <v/>
      </c>
      <c r="H5" s="10">
        <f>D5*F5</f>
        <v/>
      </c>
      <c r="I5" s="10">
        <f>H5-G5</f>
        <v/>
      </c>
      <c r="J5" s="11">
        <f>IF(G5=0,0,(I5/G5)*100)</f>
        <v/>
      </c>
      <c r="K5" s="11">
        <f>IF($H$8=0,0,(H5/$H$8)*100)</f>
        <v/>
      </c>
    </row>
    <row r="6">
      <c r="A6" s="8" t="inlineStr">
        <is>
          <t>RELIANCE</t>
        </is>
      </c>
      <c r="B6" s="8" t="inlineStr">
        <is>
          <t>Reliance Industries</t>
        </is>
      </c>
      <c r="C6" s="8" t="inlineStr">
        <is>
          <t>Energy</t>
        </is>
      </c>
      <c r="D6" s="8" t="n">
        <v>10</v>
      </c>
      <c r="E6" s="10" t="n">
        <v>2450</v>
      </c>
      <c r="F6" s="10" t="n">
        <v>2950</v>
      </c>
      <c r="G6" s="10">
        <f>D6*E6</f>
        <v/>
      </c>
      <c r="H6" s="10">
        <f>D6*F6</f>
        <v/>
      </c>
      <c r="I6" s="10">
        <f>H6-G6</f>
        <v/>
      </c>
      <c r="J6" s="11">
        <f>IF(G6=0,0,(I6/G6)*100)</f>
        <v/>
      </c>
      <c r="K6" s="11">
        <f>IF($H$8=0,0,(H6/$H$8)*100)</f>
        <v/>
      </c>
    </row>
    <row r="7">
      <c r="A7" s="8" t="inlineStr">
        <is>
          <t>TATAMOTORS</t>
        </is>
      </c>
      <c r="B7" s="8" t="inlineStr">
        <is>
          <t>Tata Motors</t>
        </is>
      </c>
      <c r="C7" s="8" t="inlineStr">
        <is>
          <t>Automobile</t>
        </is>
      </c>
      <c r="D7" s="8" t="n">
        <v>25</v>
      </c>
      <c r="E7" s="10" t="n">
        <v>850</v>
      </c>
      <c r="F7" s="10" t="n">
        <v>980</v>
      </c>
      <c r="G7" s="10">
        <f>D7*E7</f>
        <v/>
      </c>
      <c r="H7" s="10">
        <f>D7*F7</f>
        <v/>
      </c>
      <c r="I7" s="10">
        <f>H7-G7</f>
        <v/>
      </c>
      <c r="J7" s="11">
        <f>IF(G7=0,0,(I7/G7)*100)</f>
        <v/>
      </c>
      <c r="K7" s="11">
        <f>IF($H$8=0,0,(H7/$H$8)*100)</f>
        <v/>
      </c>
    </row>
    <row r="8">
      <c r="A8" s="8" t="inlineStr">
        <is>
          <t>TCS</t>
        </is>
      </c>
      <c r="B8" s="8" t="inlineStr">
        <is>
          <t>Tata Consultancy Services</t>
        </is>
      </c>
      <c r="C8" s="8" t="inlineStr">
        <is>
          <t>IT</t>
        </is>
      </c>
      <c r="D8" s="8" t="n">
        <v>5</v>
      </c>
      <c r="E8" s="10" t="n">
        <v>3600</v>
      </c>
      <c r="F8" s="10" t="n">
        <v>3850</v>
      </c>
      <c r="G8" s="10">
        <f>D8*E8</f>
        <v/>
      </c>
      <c r="H8" s="10">
        <f>D8*F8</f>
        <v/>
      </c>
      <c r="I8" s="10">
        <f>H8-G8</f>
        <v/>
      </c>
      <c r="J8" s="11">
        <f>IF(G8=0,0,(I8/G8)*100)</f>
        <v/>
      </c>
      <c r="K8" s="11">
        <f>IF($H$8=0,0,(H8/$H$8)*100)</f>
        <v/>
      </c>
    </row>
    <row r="9">
      <c r="A9" s="12" t="n"/>
      <c r="B9" s="12" t="inlineStr">
        <is>
          <t>TOTAL</t>
        </is>
      </c>
      <c r="C9" s="12" t="n"/>
      <c r="D9" s="12" t="n"/>
      <c r="E9" s="13" t="n"/>
      <c r="F9" s="13" t="n"/>
      <c r="G9" s="13">
        <f>SUM(G2:G8)</f>
        <v/>
      </c>
      <c r="H9" s="13">
        <f>SUM(H2:H8)</f>
        <v/>
      </c>
      <c r="I9" s="13">
        <f>H9-G9</f>
        <v/>
      </c>
      <c r="J9" s="14">
        <f>IF(G9=0,0,(I9/G9)*100)</f>
        <v/>
      </c>
      <c r="K9" s="14" t="n"/>
    </row>
  </sheetData>
  <autoFilter ref="A1:K8"/>
  <conditionalFormatting sqref="I2:I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Visual Insights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2026-07-08T08:19:55Z</dcterms:created>
  <dcterms:modified xsi:type="dcterms:W3CDTF">2026-07-08T08:19:55Z</dcterms:modified>
</cp:coreProperties>
</file>